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arning\Aditya Saini\Excel + VBA\Excel VBA Project\Automated Invoice System\"/>
    </mc:Choice>
  </mc:AlternateContent>
  <xr:revisionPtr revIDLastSave="0" documentId="13_ncr:1_{18FDD8C2-E758-4AAB-867A-F8C679F0FBB9}" xr6:coauthVersionLast="47" xr6:coauthVersionMax="47" xr10:uidLastSave="{00000000-0000-0000-0000-000000000000}"/>
  <bookViews>
    <workbookView xWindow="-110" yWindow="-110" windowWidth="19420" windowHeight="10300" xr2:uid="{FF6D67F4-794E-4B39-B086-B9A8382B9963}"/>
  </bookViews>
  <sheets>
    <sheet name="Invoice Template" sheetId="1" r:id="rId1"/>
    <sheet name="Customers" sheetId="2" r:id="rId2"/>
    <sheet name="Record of Invoice" sheetId="3" r:id="rId3"/>
  </sheets>
  <definedNames>
    <definedName name="Customer_Name">Customer_List[Customer Name]</definedName>
    <definedName name="_xlnm.Print_Area" localSheetId="0">'Invoice Template'!$A$1:$I$43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10" i="1"/>
  <c r="C5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35" i="1" l="1"/>
  <c r="I34" i="1"/>
  <c r="I36" i="1" l="1"/>
</calcChain>
</file>

<file path=xl/sharedStrings.xml><?xml version="1.0" encoding="utf-8"?>
<sst xmlns="http://schemas.openxmlformats.org/spreadsheetml/2006/main" count="53" uniqueCount="47">
  <si>
    <t>Company Name</t>
  </si>
  <si>
    <t>Invoice</t>
  </si>
  <si>
    <t>Invoice No.</t>
  </si>
  <si>
    <t>PO No.</t>
  </si>
  <si>
    <t>Date</t>
  </si>
  <si>
    <t>Terms(Days)</t>
  </si>
  <si>
    <t>Invoice to:</t>
  </si>
  <si>
    <t>Describtion</t>
  </si>
  <si>
    <t>Qty</t>
  </si>
  <si>
    <t>Price</t>
  </si>
  <si>
    <t xml:space="preserve">VAT </t>
  </si>
  <si>
    <t>Total(Exc. VAT)</t>
  </si>
  <si>
    <t>Customer Message</t>
  </si>
  <si>
    <t>Subtotal</t>
  </si>
  <si>
    <t>VAT</t>
  </si>
  <si>
    <t>Total</t>
  </si>
  <si>
    <t>Company Details</t>
  </si>
  <si>
    <t>Payment Details</t>
  </si>
  <si>
    <t>Company No.</t>
  </si>
  <si>
    <t>VAT no.</t>
  </si>
  <si>
    <t>Tel. no.</t>
  </si>
  <si>
    <t>Email</t>
  </si>
  <si>
    <t>Acc. No.</t>
  </si>
  <si>
    <t>Bank</t>
  </si>
  <si>
    <t>Swift Code</t>
  </si>
  <si>
    <t>Other</t>
  </si>
  <si>
    <t>Customer Name</t>
  </si>
  <si>
    <t>Address 1</t>
  </si>
  <si>
    <t>Address 2</t>
  </si>
  <si>
    <t>Address 3</t>
  </si>
  <si>
    <t>Address 4</t>
  </si>
  <si>
    <t>Address 5</t>
  </si>
  <si>
    <t>ABC Ltd</t>
  </si>
  <si>
    <t>XYZ Ltd</t>
  </si>
  <si>
    <t>Add 1</t>
  </si>
  <si>
    <t>Add 2</t>
  </si>
  <si>
    <t>Add 3</t>
  </si>
  <si>
    <t>Add 4</t>
  </si>
  <si>
    <t>abcltd@gmail.com</t>
  </si>
  <si>
    <t>xyzltd@gmail.com</t>
  </si>
  <si>
    <t>POR Ltd</t>
  </si>
  <si>
    <t xml:space="preserve">Invoice No. </t>
  </si>
  <si>
    <t>Company</t>
  </si>
  <si>
    <t>Account</t>
  </si>
  <si>
    <t xml:space="preserve">Date Issue </t>
  </si>
  <si>
    <t>Due Date</t>
  </si>
  <si>
    <t>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</si>
</sst>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#,##0.00_);\(&quot;₹&quot;#,##0.00\)"/>
    <numFmt numFmtId="165" formatCode="&quot;₹&quot;\ #,##0.00"/>
  </numFmts>
  <fonts count="5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Calibri"/>
      <family val="2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2" borderId="2" xfId="0" applyFont="1" applyFill="1" applyBorder="1"/>
    <xf numFmtId="0" fontId="2" fillId="2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10" xfId="0" applyFont="1" applyFill="1" applyBorder="1"/>
    <xf numFmtId="0" fontId="0" fillId="0" borderId="11" xfId="0" applyBorder="1"/>
    <xf numFmtId="0" fontId="2" fillId="2" borderId="11" xfId="0" applyFont="1" applyFill="1" applyBorder="1"/>
    <xf numFmtId="0" fontId="2" fillId="2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3" borderId="0" xfId="0" applyFill="1"/>
    <xf numFmtId="165" fontId="0" fillId="0" borderId="0" xfId="0" applyNumberFormat="1"/>
    <xf numFmtId="165" fontId="1" fillId="0" borderId="25" xfId="0" applyNumberFormat="1" applyFon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7" xfId="0" applyNumberFormat="1" applyBorder="1"/>
    <xf numFmtId="0" fontId="4" fillId="0" borderId="0" xfId="1"/>
    <xf numFmtId="0" fontId="2" fillId="2" borderId="26" xfId="0" applyFont="1" applyFill="1" applyBorder="1"/>
    <xf numFmtId="0" fontId="0" fillId="0" borderId="6" xfId="0" applyBorder="1" applyAlignment="1">
      <alignment horizontal="left"/>
    </xf>
    <xf numFmtId="164" fontId="0" fillId="0" borderId="0" xfId="0" applyNumberFormat="1"/>
    <xf numFmtId="14" fontId="0" fillId="0" borderId="0" xfId="0" applyNumberFormat="1"/>
    <xf numFmtId="0" fontId="0" fillId="0" borderId="27" xfId="0" applyBorder="1"/>
    <xf numFmtId="0" fontId="0" fillId="0" borderId="28" xfId="0" applyBorder="1"/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14" fontId="0" fillId="0" borderId="27" xfId="0" applyNumberFormat="1" applyBorder="1" applyAlignment="1">
      <alignment horizontal="left"/>
    </xf>
    <xf numFmtId="14" fontId="0" fillId="0" borderId="28" xfId="0" applyNumberForma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</cellXfs>
  <cellStyles count="2">
    <cellStyle name="Hyperlink" xfId="1" builtinId="8"/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117475</xdr:colOff>
      <xdr:row>5</xdr:row>
      <xdr:rowOff>57150</xdr:rowOff>
    </xdr:from>
    <xdr:to>
      <xdr:col>13</xdr:col>
      <xdr:colOff>187325</xdr:colOff>
      <xdr:row>7</xdr:row>
      <xdr:rowOff>31750</xdr:rowOff>
    </xdr:to>
    <xdr:sp macro="[0]!Recordof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A7B3B35-DD19-C059-4140-0735C56E5491}"/>
            </a:ext>
          </a:extLst>
        </xdr:cNvPr>
        <xdr:cNvSpPr/>
      </xdr:nvSpPr>
      <xdr:spPr>
        <a:xfrm>
          <a:off x="7254875" y="977900"/>
          <a:ext cx="1289050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 of Invoice</a:t>
          </a:r>
        </a:p>
        <a:p>
          <a:pPr algn="l"/>
          <a:endParaRPr lang="en-IN" sz="1100"/>
        </a:p>
      </xdr:txBody>
    </xdr:sp>
    <xdr:clientData/>
  </xdr:twoCellAnchor>
  <xdr:twoCellAnchor>
    <xdr:from>
      <xdr:col>11</xdr:col>
      <xdr:colOff>117475</xdr:colOff>
      <xdr:row>8</xdr:row>
      <xdr:rowOff>152400</xdr:rowOff>
    </xdr:from>
    <xdr:to>
      <xdr:col>13</xdr:col>
      <xdr:colOff>187325</xdr:colOff>
      <xdr:row>10</xdr:row>
      <xdr:rowOff>127000</xdr:rowOff>
    </xdr:to>
    <xdr:sp macro="[0]!SaveAsExc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660F0B6-A8AB-41E6-8649-E4C3B5B56A47}"/>
            </a:ext>
          </a:extLst>
        </xdr:cNvPr>
        <xdr:cNvSpPr/>
      </xdr:nvSpPr>
      <xdr:spPr>
        <a:xfrm>
          <a:off x="7254875" y="1625600"/>
          <a:ext cx="1289050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Save As</a:t>
          </a:r>
          <a:r>
            <a:rPr lang="en-IN" sz="1100" baseline="0"/>
            <a:t> Excel</a:t>
          </a:r>
          <a:endParaRPr lang="en-IN" sz="1100"/>
        </a:p>
        <a:p>
          <a:pPr algn="l"/>
          <a:endParaRPr lang="en-IN" sz="1100"/>
        </a:p>
      </xdr:txBody>
    </xdr:sp>
    <xdr:clientData/>
  </xdr:twoCellAnchor>
  <xdr:twoCellAnchor>
    <xdr:from>
      <xdr:col>11</xdr:col>
      <xdr:colOff>117475</xdr:colOff>
      <xdr:row>12</xdr:row>
      <xdr:rowOff>63500</xdr:rowOff>
    </xdr:from>
    <xdr:to>
      <xdr:col>13</xdr:col>
      <xdr:colOff>187325</xdr:colOff>
      <xdr:row>14</xdr:row>
      <xdr:rowOff>38100</xdr:rowOff>
    </xdr:to>
    <xdr:sp macro="[0]!SaveAs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7759737-8AC9-413B-A28B-A0CAB2FDF58D}"/>
            </a:ext>
          </a:extLst>
        </xdr:cNvPr>
        <xdr:cNvSpPr/>
      </xdr:nvSpPr>
      <xdr:spPr>
        <a:xfrm>
          <a:off x="7254875" y="2273300"/>
          <a:ext cx="1289050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Save As</a:t>
          </a:r>
          <a:r>
            <a:rPr lang="en-IN" sz="1100" baseline="0"/>
            <a:t> PDF</a:t>
          </a:r>
          <a:endParaRPr lang="en-IN" sz="1100"/>
        </a:p>
        <a:p>
          <a:pPr algn="l"/>
          <a:endParaRPr lang="en-IN" sz="1100"/>
        </a:p>
      </xdr:txBody>
    </xdr:sp>
    <xdr:clientData/>
  </xdr:twoCellAnchor>
  <xdr:twoCellAnchor>
    <xdr:from>
      <xdr:col>11</xdr:col>
      <xdr:colOff>117475</xdr:colOff>
      <xdr:row>15</xdr:row>
      <xdr:rowOff>158750</xdr:rowOff>
    </xdr:from>
    <xdr:to>
      <xdr:col>13</xdr:col>
      <xdr:colOff>187325</xdr:colOff>
      <xdr:row>17</xdr:row>
      <xdr:rowOff>133350</xdr:rowOff>
    </xdr:to>
    <xdr:sp macro="[0]!NewInvoic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EEF6FF5-22AB-471C-B831-5007519F74EA}"/>
            </a:ext>
          </a:extLst>
        </xdr:cNvPr>
        <xdr:cNvSpPr/>
      </xdr:nvSpPr>
      <xdr:spPr>
        <a:xfrm>
          <a:off x="7254875" y="2921000"/>
          <a:ext cx="1289050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New Invoice</a:t>
          </a:r>
        </a:p>
        <a:p>
          <a:pPr algn="l"/>
          <a:endParaRPr lang="en-IN" sz="1100"/>
        </a:p>
      </xdr:txBody>
    </xdr:sp>
    <xdr:clientData/>
  </xdr:twoCellAnchor>
  <xdr:twoCellAnchor>
    <xdr:from>
      <xdr:col>10</xdr:col>
      <xdr:colOff>412750</xdr:colOff>
      <xdr:row>0</xdr:row>
      <xdr:rowOff>133350</xdr:rowOff>
    </xdr:from>
    <xdr:to>
      <xdr:col>13</xdr:col>
      <xdr:colOff>501650</xdr:colOff>
      <xdr:row>3</xdr:row>
      <xdr:rowOff>120650</xdr:rowOff>
    </xdr:to>
    <xdr:sp macro="[0]!NextCustom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B110D4E-9D84-4F5C-BCD5-6245FC8A7396}"/>
            </a:ext>
          </a:extLst>
        </xdr:cNvPr>
        <xdr:cNvSpPr/>
      </xdr:nvSpPr>
      <xdr:spPr>
        <a:xfrm>
          <a:off x="6940550" y="133350"/>
          <a:ext cx="1917700" cy="539750"/>
        </a:xfrm>
        <a:prstGeom prst="roundRect">
          <a:avLst/>
        </a:prstGeom>
        <a:solidFill>
          <a:schemeClr val="accent6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 b="1"/>
            <a:t> NextCustomer</a:t>
          </a:r>
        </a:p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DE896A-B824-4190-BECB-9DE1DF7BD1DD}" name="Customer_List" displayName="Customer_List" ref="A1:G4" totalsRowShown="0" headerRowDxfId="2" headerRowBorderDxfId="1" tableBorderDxfId="0">
  <autoFilter ref="A1:G4" xr:uid="{72DE896A-B824-4190-BECB-9DE1DF7BD1DD}"/>
  <tableColumns count="7">
    <tableColumn id="1" xr3:uid="{E76B556B-B13B-422F-81B7-06E7CF6995AA}" name="Customer Name"/>
    <tableColumn id="2" xr3:uid="{62DB3C94-AA66-4380-A917-D63B7163ACD7}" name="Address 1"/>
    <tableColumn id="3" xr3:uid="{0C97CCF7-32A3-44CE-8F99-26D1E5D544F2}" name="Address 2"/>
    <tableColumn id="4" xr3:uid="{624F8123-60B5-4B5D-AE00-268981F975A6}" name="Address 3"/>
    <tableColumn id="5" xr3:uid="{51EA39E5-E85F-448B-9090-EFBAE77CEA4E}" name="Address 4"/>
    <tableColumn id="6" xr3:uid="{38B5A0BB-3458-4D5B-8DFA-BD1E1A0E392C}" name="Address 5"/>
    <tableColumn id="7" xr3:uid="{505E32D4-DB6E-4EA7-A088-B6BA5F833BB1}" name="Email" dataCellStyle="Hyperlink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xyzltd@gmail.com" TargetMode="External"/><Relationship Id="rId1" Type="http://schemas.openxmlformats.org/officeDocument/2006/relationships/hyperlink" Target="mailto:abclt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95663-7842-4391-BE12-1F05ABAE7120}">
  <sheetPr codeName="Sheet1"/>
  <dimension ref="B1:I43"/>
  <sheetViews>
    <sheetView showGridLines="0" tabSelected="1" workbookViewId="0">
      <selection activeCell="P8" sqref="P8"/>
    </sheetView>
  </sheetViews>
  <sheetFormatPr defaultRowHeight="14.5" x14ac:dyDescent="0.35"/>
  <cols>
    <col min="1" max="1" width="1.81640625" customWidth="1"/>
    <col min="2" max="2" width="14.1796875" bestFit="1" customWidth="1"/>
    <col min="3" max="3" width="11.453125" customWidth="1"/>
    <col min="8" max="8" width="9" customWidth="1"/>
    <col min="9" max="9" width="13.36328125" bestFit="1" customWidth="1"/>
  </cols>
  <sheetData>
    <row r="1" spans="2:9" x14ac:dyDescent="0.35">
      <c r="B1" s="44" t="s">
        <v>0</v>
      </c>
      <c r="C1" s="44"/>
      <c r="D1" s="44"/>
      <c r="E1" s="44"/>
      <c r="F1" s="2"/>
      <c r="G1" s="2"/>
      <c r="H1" s="44" t="s">
        <v>1</v>
      </c>
      <c r="I1" s="44"/>
    </row>
    <row r="3" spans="2:9" x14ac:dyDescent="0.35">
      <c r="B3" s="3" t="s">
        <v>2</v>
      </c>
      <c r="C3" s="45">
        <v>1007</v>
      </c>
      <c r="D3" s="46"/>
      <c r="F3" s="5"/>
      <c r="G3" s="6"/>
      <c r="H3" s="6"/>
      <c r="I3" s="7"/>
    </row>
    <row r="4" spans="2:9" x14ac:dyDescent="0.35">
      <c r="B4" s="3" t="s">
        <v>3</v>
      </c>
      <c r="C4" s="38"/>
      <c r="D4" s="39"/>
      <c r="F4" s="8"/>
      <c r="I4" s="9"/>
    </row>
    <row r="5" spans="2:9" x14ac:dyDescent="0.35">
      <c r="B5" s="3" t="s">
        <v>4</v>
      </c>
      <c r="C5" s="42">
        <f ca="1">TODAY()</f>
        <v>45370</v>
      </c>
      <c r="D5" s="43"/>
      <c r="F5" s="8"/>
      <c r="I5" s="9"/>
    </row>
    <row r="6" spans="2:9" x14ac:dyDescent="0.35">
      <c r="B6" s="3" t="s">
        <v>5</v>
      </c>
      <c r="C6" s="40"/>
      <c r="D6" s="41"/>
      <c r="F6" s="10"/>
      <c r="G6" s="1"/>
      <c r="H6" s="1"/>
      <c r="I6" s="11"/>
    </row>
    <row r="8" spans="2:9" x14ac:dyDescent="0.35">
      <c r="B8" s="4" t="s">
        <v>6</v>
      </c>
    </row>
    <row r="9" spans="2:9" x14ac:dyDescent="0.35">
      <c r="B9" s="5"/>
      <c r="C9" s="6"/>
      <c r="D9" s="7"/>
    </row>
    <row r="10" spans="2:9" x14ac:dyDescent="0.35">
      <c r="B10" s="35" t="str">
        <f>IFERROR(VLOOKUP($B$9,Customer_List[#All],2,0),"")</f>
        <v/>
      </c>
      <c r="D10" s="9"/>
    </row>
    <row r="11" spans="2:9" x14ac:dyDescent="0.35">
      <c r="B11" s="35" t="str">
        <f>IFERROR(VLOOKUP($B$9,Customer_List[#All],3,0),"")</f>
        <v/>
      </c>
      <c r="D11" s="9"/>
    </row>
    <row r="12" spans="2:9" x14ac:dyDescent="0.35">
      <c r="B12" s="35" t="str">
        <f>IFERROR(VLOOKUP($B$9,Customer_List[#All],4,0),"")</f>
        <v/>
      </c>
      <c r="D12" s="9"/>
    </row>
    <row r="13" spans="2:9" x14ac:dyDescent="0.35">
      <c r="B13" s="35" t="str">
        <f>IFERROR(VLOOKUP($B$9,Customer_List[#All],5,0),"")</f>
        <v/>
      </c>
      <c r="D13" s="9"/>
    </row>
    <row r="14" spans="2:9" x14ac:dyDescent="0.35">
      <c r="B14" s="35" t="str">
        <f>IFERROR(VLOOKUP($B$9,Customer_List[#All],6,0),"")</f>
        <v/>
      </c>
      <c r="C14" s="1"/>
      <c r="D14" s="11"/>
    </row>
    <row r="16" spans="2:9" x14ac:dyDescent="0.35">
      <c r="B16" s="12" t="s">
        <v>7</v>
      </c>
      <c r="C16" s="13"/>
      <c r="D16" s="13"/>
      <c r="F16" s="14" t="s">
        <v>8</v>
      </c>
      <c r="G16" s="14" t="s">
        <v>9</v>
      </c>
      <c r="H16" s="14" t="s">
        <v>10</v>
      </c>
      <c r="I16" s="15" t="s">
        <v>11</v>
      </c>
    </row>
    <row r="17" spans="2:9" x14ac:dyDescent="0.35">
      <c r="B17" s="16"/>
      <c r="C17" s="17"/>
      <c r="D17" s="17"/>
      <c r="E17" s="17"/>
      <c r="F17" s="17"/>
      <c r="G17" s="30"/>
      <c r="H17" s="30" t="str">
        <f>IF(F17&lt;&gt;"",G17*20%,"")</f>
        <v/>
      </c>
      <c r="I17" s="31" t="str">
        <f>IF(F17&lt;&gt;"",F17*G17,"")</f>
        <v/>
      </c>
    </row>
    <row r="18" spans="2:9" x14ac:dyDescent="0.35">
      <c r="B18" s="16"/>
      <c r="C18" s="17"/>
      <c r="D18" s="17"/>
      <c r="E18" s="17"/>
      <c r="F18" s="17"/>
      <c r="G18" s="30"/>
      <c r="H18" s="30" t="str">
        <f t="shared" ref="H18:H31" si="0">IF(F18&lt;&gt;"",G18*20%,"")</f>
        <v/>
      </c>
      <c r="I18" s="31" t="str">
        <f t="shared" ref="I18:I31" si="1">IF(F18&lt;&gt;"",F18*G18,"")</f>
        <v/>
      </c>
    </row>
    <row r="19" spans="2:9" x14ac:dyDescent="0.35">
      <c r="B19" s="16"/>
      <c r="C19" s="17"/>
      <c r="D19" s="17"/>
      <c r="E19" s="17"/>
      <c r="F19" s="17"/>
      <c r="G19" s="30"/>
      <c r="H19" s="30" t="str">
        <f t="shared" si="0"/>
        <v/>
      </c>
      <c r="I19" s="31" t="str">
        <f t="shared" si="1"/>
        <v/>
      </c>
    </row>
    <row r="20" spans="2:9" x14ac:dyDescent="0.35">
      <c r="B20" s="16"/>
      <c r="C20" s="17"/>
      <c r="D20" s="17"/>
      <c r="E20" s="17"/>
      <c r="F20" s="17"/>
      <c r="G20" s="30"/>
      <c r="H20" s="30" t="str">
        <f t="shared" si="0"/>
        <v/>
      </c>
      <c r="I20" s="31" t="str">
        <f t="shared" si="1"/>
        <v/>
      </c>
    </row>
    <row r="21" spans="2:9" x14ac:dyDescent="0.35">
      <c r="B21" s="16"/>
      <c r="C21" s="17"/>
      <c r="D21" s="17"/>
      <c r="E21" s="17"/>
      <c r="F21" s="17"/>
      <c r="G21" s="30"/>
      <c r="H21" s="30" t="str">
        <f t="shared" si="0"/>
        <v/>
      </c>
      <c r="I21" s="31" t="str">
        <f t="shared" si="1"/>
        <v/>
      </c>
    </row>
    <row r="22" spans="2:9" x14ac:dyDescent="0.35">
      <c r="B22" s="16"/>
      <c r="C22" s="17"/>
      <c r="D22" s="17"/>
      <c r="E22" s="17"/>
      <c r="F22" s="17"/>
      <c r="G22" s="30"/>
      <c r="H22" s="30" t="str">
        <f t="shared" si="0"/>
        <v/>
      </c>
      <c r="I22" s="31" t="str">
        <f t="shared" si="1"/>
        <v/>
      </c>
    </row>
    <row r="23" spans="2:9" x14ac:dyDescent="0.35">
      <c r="B23" s="16"/>
      <c r="C23" s="17"/>
      <c r="D23" s="17"/>
      <c r="E23" s="17"/>
      <c r="F23" s="17"/>
      <c r="G23" s="30"/>
      <c r="H23" s="30" t="str">
        <f t="shared" si="0"/>
        <v/>
      </c>
      <c r="I23" s="31" t="str">
        <f t="shared" si="1"/>
        <v/>
      </c>
    </row>
    <row r="24" spans="2:9" x14ac:dyDescent="0.35">
      <c r="B24" s="16"/>
      <c r="C24" s="17"/>
      <c r="D24" s="17"/>
      <c r="E24" s="17"/>
      <c r="F24" s="17"/>
      <c r="G24" s="30"/>
      <c r="H24" s="30" t="str">
        <f t="shared" si="0"/>
        <v/>
      </c>
      <c r="I24" s="31" t="str">
        <f t="shared" si="1"/>
        <v/>
      </c>
    </row>
    <row r="25" spans="2:9" x14ac:dyDescent="0.35">
      <c r="B25" s="16"/>
      <c r="C25" s="17"/>
      <c r="D25" s="17"/>
      <c r="E25" s="17"/>
      <c r="F25" s="17"/>
      <c r="G25" s="30"/>
      <c r="H25" s="30" t="str">
        <f t="shared" si="0"/>
        <v/>
      </c>
      <c r="I25" s="31" t="str">
        <f t="shared" si="1"/>
        <v/>
      </c>
    </row>
    <row r="26" spans="2:9" x14ac:dyDescent="0.35">
      <c r="B26" s="16"/>
      <c r="C26" s="17"/>
      <c r="D26" s="17"/>
      <c r="E26" s="17"/>
      <c r="F26" s="17"/>
      <c r="G26" s="30"/>
      <c r="H26" s="30" t="str">
        <f t="shared" si="0"/>
        <v/>
      </c>
      <c r="I26" s="31" t="str">
        <f t="shared" si="1"/>
        <v/>
      </c>
    </row>
    <row r="27" spans="2:9" x14ac:dyDescent="0.35">
      <c r="B27" s="16"/>
      <c r="C27" s="17"/>
      <c r="D27" s="17"/>
      <c r="E27" s="17"/>
      <c r="F27" s="17"/>
      <c r="G27" s="30"/>
      <c r="H27" s="30" t="str">
        <f t="shared" si="0"/>
        <v/>
      </c>
      <c r="I27" s="31" t="str">
        <f t="shared" si="1"/>
        <v/>
      </c>
    </row>
    <row r="28" spans="2:9" x14ac:dyDescent="0.35">
      <c r="B28" s="16"/>
      <c r="C28" s="17"/>
      <c r="D28" s="17"/>
      <c r="E28" s="17"/>
      <c r="F28" s="17"/>
      <c r="G28" s="30"/>
      <c r="H28" s="30" t="str">
        <f t="shared" si="0"/>
        <v/>
      </c>
      <c r="I28" s="31" t="str">
        <f t="shared" si="1"/>
        <v/>
      </c>
    </row>
    <row r="29" spans="2:9" x14ac:dyDescent="0.35">
      <c r="B29" s="16"/>
      <c r="C29" s="17"/>
      <c r="D29" s="17"/>
      <c r="E29" s="17"/>
      <c r="F29" s="17"/>
      <c r="G29" s="30"/>
      <c r="H29" s="30" t="str">
        <f t="shared" si="0"/>
        <v/>
      </c>
      <c r="I29" s="31" t="str">
        <f t="shared" si="1"/>
        <v/>
      </c>
    </row>
    <row r="30" spans="2:9" x14ac:dyDescent="0.35">
      <c r="B30" s="16"/>
      <c r="C30" s="17"/>
      <c r="D30" s="17"/>
      <c r="E30" s="17"/>
      <c r="F30" s="17"/>
      <c r="G30" s="30"/>
      <c r="H30" s="30" t="str">
        <f t="shared" si="0"/>
        <v/>
      </c>
      <c r="I30" s="31" t="str">
        <f t="shared" si="1"/>
        <v/>
      </c>
    </row>
    <row r="31" spans="2:9" x14ac:dyDescent="0.35">
      <c r="B31" s="18"/>
      <c r="C31" s="19"/>
      <c r="D31" s="19"/>
      <c r="E31" s="19"/>
      <c r="F31" s="19"/>
      <c r="G31" s="32"/>
      <c r="H31" s="30" t="str">
        <f t="shared" si="0"/>
        <v/>
      </c>
      <c r="I31" s="31" t="str">
        <f t="shared" si="1"/>
        <v/>
      </c>
    </row>
    <row r="33" spans="2:9" x14ac:dyDescent="0.35">
      <c r="B33" t="s">
        <v>12</v>
      </c>
      <c r="G33" s="27"/>
      <c r="H33" s="27"/>
      <c r="I33" s="27"/>
    </row>
    <row r="34" spans="2:9" x14ac:dyDescent="0.35">
      <c r="B34" s="20"/>
      <c r="C34" s="6"/>
      <c r="D34" s="21"/>
      <c r="G34" t="s">
        <v>13</v>
      </c>
      <c r="I34" s="28">
        <f>SUM(I17:I31)</f>
        <v>0</v>
      </c>
    </row>
    <row r="35" spans="2:9" x14ac:dyDescent="0.35">
      <c r="B35" s="22"/>
      <c r="D35" s="23"/>
      <c r="G35" t="s">
        <v>14</v>
      </c>
      <c r="I35" s="28">
        <f>SUM(H17:H31)</f>
        <v>0</v>
      </c>
    </row>
    <row r="36" spans="2:9" ht="15" thickBot="1" x14ac:dyDescent="0.4">
      <c r="B36" s="22"/>
      <c r="D36" s="23"/>
      <c r="G36" t="s">
        <v>15</v>
      </c>
      <c r="I36" s="29">
        <f>SUM(I34:I35)</f>
        <v>0</v>
      </c>
    </row>
    <row r="37" spans="2:9" ht="15" thickTop="1" x14ac:dyDescent="0.35">
      <c r="B37" s="24"/>
      <c r="C37" s="25"/>
      <c r="D37" s="26"/>
    </row>
    <row r="39" spans="2:9" x14ac:dyDescent="0.35">
      <c r="B39" s="12" t="s">
        <v>16</v>
      </c>
      <c r="C39" s="12"/>
      <c r="D39" s="12"/>
      <c r="E39" s="12"/>
      <c r="F39" s="12"/>
      <c r="G39" s="12" t="s">
        <v>17</v>
      </c>
      <c r="H39" s="12"/>
      <c r="I39" s="12"/>
    </row>
    <row r="40" spans="2:9" x14ac:dyDescent="0.35">
      <c r="B40" t="s">
        <v>18</v>
      </c>
      <c r="G40" t="s">
        <v>22</v>
      </c>
    </row>
    <row r="41" spans="2:9" x14ac:dyDescent="0.35">
      <c r="B41" t="s">
        <v>19</v>
      </c>
      <c r="G41" t="s">
        <v>23</v>
      </c>
    </row>
    <row r="42" spans="2:9" x14ac:dyDescent="0.35">
      <c r="B42" t="s">
        <v>20</v>
      </c>
      <c r="G42" t="s">
        <v>24</v>
      </c>
    </row>
    <row r="43" spans="2:9" x14ac:dyDescent="0.35">
      <c r="B43" t="s">
        <v>21</v>
      </c>
      <c r="G43" t="s">
        <v>25</v>
      </c>
    </row>
  </sheetData>
  <mergeCells count="4">
    <mergeCell ref="C5:D5"/>
    <mergeCell ref="H1:I1"/>
    <mergeCell ref="C3:D3"/>
    <mergeCell ref="B1:E1"/>
  </mergeCells>
  <dataValidations disablePrompts="1" count="2">
    <dataValidation type="list" allowBlank="1" showInputMessage="1" showErrorMessage="1" sqref="B9" xr:uid="{239C2B41-0DB5-472A-82B4-BE747D4B4C85}">
      <formula1>Customer_Name</formula1>
    </dataValidation>
    <dataValidation type="list" allowBlank="1" showInputMessage="1" showErrorMessage="1" sqref="C6" xr:uid="{BD8A81BC-F102-4766-A0AB-9AE0DB3398A7}">
      <formula1>"15, 30, 45, 60"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3D63-8C9D-44A4-B5DA-FA812BA76A89}">
  <sheetPr codeName="Sheet2"/>
  <dimension ref="A1:G4"/>
  <sheetViews>
    <sheetView workbookViewId="0">
      <selection activeCell="A5" sqref="A5"/>
    </sheetView>
  </sheetViews>
  <sheetFormatPr defaultRowHeight="14.5" x14ac:dyDescent="0.35"/>
  <cols>
    <col min="1" max="1" width="16.36328125" customWidth="1"/>
    <col min="2" max="6" width="11" customWidth="1"/>
    <col min="7" max="7" width="16.36328125" bestFit="1" customWidth="1"/>
  </cols>
  <sheetData>
    <row r="1" spans="1:7" x14ac:dyDescent="0.35">
      <c r="A1" s="34" t="s">
        <v>26</v>
      </c>
      <c r="B1" s="34" t="s">
        <v>27</v>
      </c>
      <c r="C1" s="34" t="s">
        <v>28</v>
      </c>
      <c r="D1" s="34" t="s">
        <v>29</v>
      </c>
      <c r="E1" s="34" t="s">
        <v>30</v>
      </c>
      <c r="F1" s="34" t="s">
        <v>31</v>
      </c>
      <c r="G1" s="34" t="s">
        <v>21</v>
      </c>
    </row>
    <row r="2" spans="1:7" x14ac:dyDescent="0.35">
      <c r="A2" t="s">
        <v>32</v>
      </c>
      <c r="B2">
        <v>105</v>
      </c>
      <c r="C2" t="s">
        <v>34</v>
      </c>
      <c r="D2" t="s">
        <v>35</v>
      </c>
      <c r="E2" t="s">
        <v>36</v>
      </c>
      <c r="F2" t="s">
        <v>37</v>
      </c>
      <c r="G2" s="33" t="s">
        <v>38</v>
      </c>
    </row>
    <row r="3" spans="1:7" x14ac:dyDescent="0.35">
      <c r="A3" t="s">
        <v>33</v>
      </c>
      <c r="B3">
        <v>154</v>
      </c>
      <c r="C3" t="s">
        <v>34</v>
      </c>
      <c r="D3" t="s">
        <v>35</v>
      </c>
      <c r="E3" t="s">
        <v>36</v>
      </c>
      <c r="F3" t="s">
        <v>37</v>
      </c>
      <c r="G3" s="33" t="s">
        <v>39</v>
      </c>
    </row>
    <row r="4" spans="1:7" x14ac:dyDescent="0.35">
      <c r="A4" t="s">
        <v>40</v>
      </c>
      <c r="G4" s="33"/>
    </row>
  </sheetData>
  <phoneticPr fontId="3" type="noConversion"/>
  <hyperlinks>
    <hyperlink ref="G2" r:id="rId1" xr:uid="{0FD3B855-EA12-4BC7-AE3F-A111763B9D89}"/>
    <hyperlink ref="G3" r:id="rId2" xr:uid="{D69B70E7-3F93-475E-A32F-CF8FF67272B4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5EAEB-24EE-4481-B4DF-E240AAB42AB1}">
  <sheetPr codeName="Sheet3"/>
  <dimension ref="A1:F6"/>
  <sheetViews>
    <sheetView workbookViewId="0">
      <selection activeCell="B20" sqref="B20"/>
    </sheetView>
  </sheetViews>
  <sheetFormatPr defaultRowHeight="14.5" x14ac:dyDescent="0.35"/>
  <cols>
    <col min="1" max="6" width="14.1796875" customWidth="1"/>
  </cols>
  <sheetData>
    <row r="1" spans="1:6" x14ac:dyDescent="0.3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</row>
    <row r="2" spans="1:6" x14ac:dyDescent="0.35">
      <c r="A2">
        <v>1001</v>
      </c>
      <c r="B2" t="s">
        <v>32</v>
      </c>
      <c r="C2" s="36">
        <v>0</v>
      </c>
      <c r="D2" s="37">
        <v>45370</v>
      </c>
      <c r="E2" s="37">
        <v>45400</v>
      </c>
    </row>
    <row r="3" spans="1:6" x14ac:dyDescent="0.35">
      <c r="A3">
        <v>1007</v>
      </c>
      <c r="C3" s="36">
        <v>0</v>
      </c>
      <c r="D3" s="37">
        <v>45370</v>
      </c>
      <c r="E3" s="37">
        <v>45370</v>
      </c>
    </row>
    <row r="4" spans="1:6" x14ac:dyDescent="0.35">
      <c r="C4" s="36"/>
      <c r="D4" s="37"/>
      <c r="E4" s="37"/>
    </row>
    <row r="5" spans="1:6" x14ac:dyDescent="0.35">
      <c r="C5" s="36"/>
      <c r="D5" s="37"/>
      <c r="E5" s="37"/>
    </row>
    <row r="6" spans="1:6" x14ac:dyDescent="0.35">
      <c r="C6" s="36"/>
      <c r="D6" s="37"/>
      <c r="E6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</vt:lpstr>
      <vt:lpstr>Customer_Name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Saini</dc:creator>
  <cp:lastModifiedBy>Aditya Saini</cp:lastModifiedBy>
  <cp:lastPrinted>2024-03-19T03:14:11Z</cp:lastPrinted>
  <dcterms:created xsi:type="dcterms:W3CDTF">2024-03-18T03:30:09Z</dcterms:created>
  <dcterms:modified xsi:type="dcterms:W3CDTF">2024-03-19T04:10:28Z</dcterms:modified>
</cp:coreProperties>
</file>